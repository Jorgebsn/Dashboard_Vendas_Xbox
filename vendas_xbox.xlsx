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44266f3f638b26fb/Área de Trabalho/dasboard_vendas_xbox/"/>
    </mc:Choice>
  </mc:AlternateContent>
  <xr:revisionPtr revIDLastSave="3" documentId="13_ncr:1_{3C2F8ED6-40B2-4E08-832A-7140AC03FA60}" xr6:coauthVersionLast="47" xr6:coauthVersionMax="47" xr10:uidLastSave="{FFBC9858-B300-4843-B5C6-0085795D0F28}"/>
  <bookViews>
    <workbookView xWindow="-120" yWindow="-120" windowWidth="20730" windowHeight="1116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1" i="3" l="1"/>
  <c r="E34" i="3"/>
</calcChain>
</file>

<file path=xl/sharedStrings.xml><?xml version="1.0" encoding="utf-8"?>
<sst xmlns="http://schemas.openxmlformats.org/spreadsheetml/2006/main" count="2023" uniqueCount="325">
  <si>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</si>
  <si>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</si>
  <si>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</si>
  <si>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</si>
  <si>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</si>
  <si>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</si>
  <si>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</si>
  <si>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</si>
  <si>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</si>
  <si>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</si>
  <si>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</si>
  <si>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</si>
  <si>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</si>
  <si>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</si>
  <si>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</si>
  <si>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</si>
  <si>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</si>
  <si>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</si>
  <si>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</si>
  <si>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</si>
  <si>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</si>
  <si>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</si>
  <si>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</si>
  <si>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</si>
  <si>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</si>
  <si>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</si>
  <si>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</si>
  <si>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</si>
  <si>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</si>
  <si>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</si>
  <si>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</si>
  <si>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</si>
  <si>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</si>
  <si>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</si>
  <si>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</si>
  <si>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</si>
  <si>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</si>
  <si>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</si>
  <si>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</si>
  <si>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</si>
  <si>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</si>
  <si>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</si>
  <si>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</si>
  <si>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</si>
  <si>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</si>
  <si>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</si>
  <si>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</si>
  <si>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</si>
  <si>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</si>
  <si>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</si>
  <si>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</si>
  <si>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</si>
  <si>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</si>
  <si>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</si>
  <si>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</si>
  <si>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</si>
  <si>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</si>
  <si>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</si>
  <si>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</si>
  <si>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</si>
  <si>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</si>
  <si>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</si>
  <si>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</si>
  <si>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</si>
  <si>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</si>
  <si>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</si>
  <si>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</si>
  <si>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</si>
  <si>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</si>
  <si>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</si>
  <si>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</si>
  <si>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</si>
  <si>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</si>
  <si>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</si>
  <si>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</si>
  <si>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</si>
  <si>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</si>
  <si>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</si>
  <si>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</si>
  <si>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</si>
  <si>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</si>
  <si>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</si>
  <si>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</si>
  <si>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</si>
  <si>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</si>
  <si>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</si>
  <si>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</si>
  <si>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</si>
  <si>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</si>
  <si>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</si>
  <si>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</si>
  <si>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</si>
  <si>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</si>
  <si>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</si>
  <si>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</si>
  <si>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</si>
  <si>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</si>
  <si>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</si>
  <si>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</si>
  <si>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</si>
  <si>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</si>
  <si>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</si>
  <si>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</si>
  <si>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</si>
  <si>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</si>
  <si>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</si>
  <si>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</si>
  <si>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</si>
  <si>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</si>
  <si>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</si>
  <si>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</si>
  <si>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</si>
  <si>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</si>
  <si>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</si>
  <si>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</si>
  <si>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</si>
  <si>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</si>
  <si>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</si>
  <si>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</si>
  <si>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</si>
  <si>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</si>
  <si>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</si>
  <si>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</si>
  <si>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</si>
  <si>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</si>
  <si>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</si>
  <si>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</si>
  <si>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</si>
  <si>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</si>
  <si>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</si>
  <si>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</si>
  <si>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</si>
  <si>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</si>
  <si>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</si>
  <si>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</si>
  <si>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</si>
  <si>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</si>
  <si>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</si>
  <si>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</si>
  <si>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</si>
  <si>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</si>
  <si>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</si>
  <si>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</si>
  <si>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</si>
  <si>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</si>
  <si>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</si>
  <si>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</si>
  <si>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</si>
  <si>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</si>
  <si>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</si>
  <si>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</si>
  <si>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</si>
  <si>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</si>
  <si>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</si>
  <si>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</si>
  <si>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</si>
  <si>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</si>
  <si>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</si>
  <si>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</si>
  <si>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</si>
  <si>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</si>
  <si>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</si>
  <si>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</si>
  <si>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</si>
  <si>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</si>
  <si>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</si>
  <si>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</si>
  <si>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</si>
  <si>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</si>
  <si>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</si>
  <si>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</si>
  <si>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</si>
  <si>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</si>
  <si>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</si>
  <si>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</si>
  <si>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</si>
  <si>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</si>
  <si>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</si>
  <si>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</si>
  <si>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</si>
  <si>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</si>
  <si>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</si>
  <si>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</si>
  <si>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</si>
  <si>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</si>
  <si>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</si>
  <si>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</si>
  <si>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</si>
  <si>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</si>
  <si>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</si>
  <si>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</si>
  <si>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</si>
  <si>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</si>
  <si>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</si>
  <si>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</si>
  <si>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</si>
  <si>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</si>
  <si>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</si>
  <si>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</si>
  <si>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</si>
  <si>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</si>
  <si>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</si>
  <si>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</si>
  <si>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</si>
  <si>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</si>
  <si>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</si>
  <si>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</si>
  <si>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</si>
  <si>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</si>
  <si>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</si>
  <si>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</si>
  <si>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</si>
  <si>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</si>
  <si>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</si>
  <si>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</si>
  <si>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</si>
  <si>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</si>
  <si>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</si>
  <si>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</si>
  <si>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</si>
  <si>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</si>
  <si>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</si>
  <si>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</si>
  <si>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</si>
  <si>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</si>
  <si>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</si>
  <si>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</si>
  <si>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</si>
  <si>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</si>
  <si>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</si>
  <si>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</si>
  <si>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</si>
  <si>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</si>
  <si>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</si>
  <si>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</si>
  <si>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</si>
  <si>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</si>
  <si>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</si>
  <si>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</si>
  <si>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</si>
  <si>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</si>
  <si>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</si>
  <si>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</si>
  <si>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</si>
  <si>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</si>
  <si>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</si>
  <si>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</si>
  <si>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</si>
  <si>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</si>
  <si>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</si>
  <si>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</si>
  <si>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</si>
  <si>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</si>
  <si>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</si>
  <si>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</si>
  <si>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</si>
  <si>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</si>
  <si>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</si>
  <si>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</si>
  <si>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</si>
  <si>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</si>
  <si>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</si>
  <si>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</si>
  <si>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</si>
  <si>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</si>
  <si>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</si>
  <si>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</si>
  <si>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</si>
  <si>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</si>
  <si>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</si>
  <si>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</si>
  <si>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</si>
  <si>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</si>
  <si>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</si>
  <si>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</si>
  <si>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</si>
  <si>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</si>
  <si>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</si>
  <si>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</si>
  <si>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</si>
  <si>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</si>
  <si>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</si>
  <si>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</si>
  <si>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</si>
  <si>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</si>
  <si>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</si>
  <si>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</si>
  <si>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</si>
  <si>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</si>
  <si>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</si>
  <si>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</si>
  <si>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</si>
  <si>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</si>
  <si>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</si>
  <si>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</si>
  <si>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</si>
  <si>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</si>
  <si>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</si>
  <si>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</si>
  <si>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</si>
  <si>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</si>
  <si>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</si>
  <si>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</si>
  <si>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</si>
  <si>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</si>
  <si>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</si>
  <si>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</si>
  <si>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</si>
  <si>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</si>
  <si>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</si>
  <si>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</si>
  <si>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</si>
  <si>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</si>
  <si>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É uma pergunta de negócio respondida através de alguma análise de dado específica</t>
  </si>
  <si>
    <t>Rótulos de Linha</t>
  </si>
  <si>
    <t>Total Geral</t>
  </si>
  <si>
    <t>Soma de Total Value</t>
  </si>
  <si>
    <r>
      <t>Pergunta de negócio 2 - Qual Faturamento</t>
    </r>
    <r>
      <rPr>
        <b/>
        <sz val="11"/>
        <color theme="1"/>
        <rFont val="Aptos Narrow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>, separado por auto renovação não é por auto renovação</t>
    </r>
  </si>
  <si>
    <r>
      <t xml:space="preserve">Pergunta de negócio 1 - Qual faturamento </t>
    </r>
    <r>
      <rPr>
        <b/>
        <sz val="11"/>
        <color theme="1"/>
        <rFont val="Aptos Narrow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</si>
  <si>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XBOX GAME PASS SUBSCRIPTIONS SALES</t>
  </si>
  <si>
    <t>Pergunta de Negócio 3 - Total de Vendas de Assinaturas do EA Play</t>
  </si>
  <si>
    <t>Soma de EA Play Season Pass</t>
  </si>
  <si>
    <t xml:space="preserve">Pergunta de Negócio 4 - Total de Vendas de Assinaturas do Minecraft Season Pass </t>
  </si>
  <si>
    <t>Soma de Minecraft Season Pass Price</t>
  </si>
  <si>
    <t>Periodo Apuração: 01/01/2024 - 31/12/2024 | Update date: 25/12/2024 09:00:00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</si>
</sst>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8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4"/>
      <color theme="1"/>
      <name val="Aptos Narrow"/>
      <scheme val="minor"/>
    </font>
    <font>
      <b/>
      <sz val="15"/>
      <color rgb="FF22C55E"/>
      <name val="Aptos Narrow"/>
      <family val="2"/>
      <scheme val="minor"/>
    </font>
    <font>
      <sz val="12"/>
      <color theme="0" tint="-0.34998626667073579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5" fillId="8" borderId="0" xfId="0" applyFont="1" applyFill="1"/>
    <xf numFmtId="0" fontId="0" fillId="8" borderId="0" xfId="0" applyFill="1"/>
    <xf numFmtId="0" fontId="6" fillId="0" borderId="2" xfId="1" applyFont="1" applyBorder="1"/>
    <xf numFmtId="0" fontId="0" fillId="7" borderId="0" xfId="0" applyFill="1" applyBorder="1"/>
    <xf numFmtId="44" fontId="0" fillId="0" borderId="0" xfId="2" applyFont="1"/>
    <xf numFmtId="164" fontId="0" fillId="0" borderId="0" xfId="2" applyNumberFormat="1" applyFont="1"/>
    <xf numFmtId="0" fontId="6" fillId="0" borderId="2" xfId="1" applyFont="1" applyBorder="1" applyAlignment="1">
      <alignment horizontal="left" indent="6"/>
    </xf>
    <xf numFmtId="0" fontId="7" fillId="7" borderId="0" xfId="0" applyFont="1" applyFill="1" applyAlignment="1">
      <alignment horizontal="left" indent="1"/>
    </xf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6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3 2" pivot="0" table="0" count="10" xr9:uid="{847FDB33-F5F4-4254-8B93-73E756AFE5C5}">
      <tableStyleElement type="wholeTable" dxfId="15"/>
      <tableStyleElement type="headerRow" dxfId="14"/>
    </tableStyle>
  </tableStyles>
  <colors>
    <mruColors>
      <color rgb="FF5BF6A8"/>
      <color rgb="FF22C55E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[base.xlsx]C̳álculos!tbl_annual_total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5BF6A8"/>
          </a:solidFill>
          <a:ln>
            <a:noFill/>
          </a:ln>
          <a:effectLst/>
        </c:spPr>
      </c:pivotFmt>
      <c:pivotFmt>
        <c:idx val="8"/>
        <c:spPr>
          <a:solidFill>
            <a:srgbClr val="5BF6A8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39B-42BB-8AB8-380171B0748D}"/>
              </c:ext>
            </c:extLst>
          </c:dPt>
          <c:dPt>
            <c:idx val="1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39B-42BB-8AB8-380171B0748D}"/>
              </c:ext>
            </c:extLst>
          </c:dPt>
          <c:dLbls>
            <c:numFmt formatCode="&quot;R$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General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39B-42BB-8AB8-380171B07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70461903"/>
        <c:axId val="1770464815"/>
      </c:barChart>
      <c:catAx>
        <c:axId val="1770461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70464815"/>
        <c:crosses val="autoZero"/>
        <c:auto val="1"/>
        <c:lblAlgn val="ctr"/>
        <c:lblOffset val="100"/>
        <c:noMultiLvlLbl val="0"/>
      </c:catAx>
      <c:valAx>
        <c:axId val="177046481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70461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12</xdr:row>
      <xdr:rowOff>95248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12</xdr:row>
      <xdr:rowOff>95248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104775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104775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2035968</xdr:colOff>
      <xdr:row>0</xdr:row>
      <xdr:rowOff>28365</xdr:rowOff>
    </xdr:from>
    <xdr:to>
      <xdr:col>2</xdr:col>
      <xdr:colOff>500006</xdr:colOff>
      <xdr:row>3</xdr:row>
      <xdr:rowOff>24606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72881AE-B926-4E3A-AAEB-C85966D2FD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66" t="9824" r="71429" b="10362"/>
        <a:stretch/>
      </xdr:blipFill>
      <xdr:spPr>
        <a:xfrm>
          <a:off x="2035968" y="28365"/>
          <a:ext cx="750038" cy="85349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83346</xdr:rowOff>
    </xdr:from>
    <xdr:to>
      <xdr:col>0</xdr:col>
      <xdr:colOff>2035968</xdr:colOff>
      <xdr:row>18</xdr:row>
      <xdr:rowOff>27215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8A6AB1CA-9B84-4BED-910C-EC0D164470E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309690"/>
              <a:ext cx="2035968" cy="253943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34884</xdr:colOff>
      <xdr:row>5</xdr:row>
      <xdr:rowOff>83346</xdr:rowOff>
    </xdr:from>
    <xdr:to>
      <xdr:col>19</xdr:col>
      <xdr:colOff>595312</xdr:colOff>
      <xdr:row>33</xdr:row>
      <xdr:rowOff>109200</xdr:rowOff>
    </xdr:to>
    <xdr:grpSp>
      <xdr:nvGrpSpPr>
        <xdr:cNvPr id="32" name="Agrupar 31">
          <a:extLst>
            <a:ext uri="{FF2B5EF4-FFF2-40B4-BE49-F238E27FC236}">
              <a16:creationId xmlns:a16="http://schemas.microsoft.com/office/drawing/2014/main" id="{2C430846-AFDD-481F-86F2-8D57F510C629}"/>
            </a:ext>
          </a:extLst>
        </xdr:cNvPr>
        <xdr:cNvGrpSpPr/>
      </xdr:nvGrpSpPr>
      <xdr:grpSpPr>
        <a:xfrm>
          <a:off x="2308978" y="1309690"/>
          <a:ext cx="12145209" cy="5300323"/>
          <a:chOff x="2416015" y="981075"/>
          <a:chExt cx="10334780" cy="5264604"/>
        </a:xfrm>
      </xdr:grpSpPr>
      <xdr:grpSp>
        <xdr:nvGrpSpPr>
          <xdr:cNvPr id="22" name="Agrupar 21">
            <a:extLst>
              <a:ext uri="{FF2B5EF4-FFF2-40B4-BE49-F238E27FC236}">
                <a16:creationId xmlns:a16="http://schemas.microsoft.com/office/drawing/2014/main" id="{5D3B110C-F4F5-42E3-985B-3B2B04A7C7D8}"/>
              </a:ext>
            </a:extLst>
          </xdr:cNvPr>
          <xdr:cNvGrpSpPr/>
        </xdr:nvGrpSpPr>
        <xdr:grpSpPr>
          <a:xfrm>
            <a:off x="2462893" y="981075"/>
            <a:ext cx="4912179" cy="1639660"/>
            <a:chOff x="2462893" y="979715"/>
            <a:chExt cx="4912179" cy="1639660"/>
          </a:xfrm>
        </xdr:grpSpPr>
        <xdr:sp macro="" textlink="">
          <xdr:nvSpPr>
            <xdr:cNvPr id="7" name="Retângulo: Cantos Arredondados 6">
              <a:extLst>
                <a:ext uri="{FF2B5EF4-FFF2-40B4-BE49-F238E27FC236}">
                  <a16:creationId xmlns:a16="http://schemas.microsoft.com/office/drawing/2014/main" id="{AC855341-87F1-4F64-8014-BF9D781E71AF}"/>
                </a:ext>
              </a:extLst>
            </xdr:cNvPr>
            <xdr:cNvSpPr/>
          </xdr:nvSpPr>
          <xdr:spPr>
            <a:xfrm>
              <a:off x="2466297" y="998424"/>
              <a:ext cx="4893468" cy="1620951"/>
            </a:xfrm>
            <a:prstGeom prst="roundRect">
              <a:avLst>
                <a:gd name="adj" fmla="val 4902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21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923C2A7C-C9AA-4298-9206-405EEAD58604}"/>
                </a:ext>
              </a:extLst>
            </xdr:cNvPr>
            <xdr:cNvSpPr/>
          </xdr:nvSpPr>
          <xdr:spPr>
            <a:xfrm>
              <a:off x="4340679" y="1556231"/>
              <a:ext cx="2558144" cy="886846"/>
            </a:xfrm>
            <a:prstGeom prst="roundRect">
              <a:avLst>
                <a:gd name="adj" fmla="val 4902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494A95A-690D-43DD-8D4B-A6A7292E60B2}" type="TxLink">
                <a:rPr lang="en-US" sz="3600" b="0" i="0" u="none" strike="noStrike">
                  <a:solidFill>
                    <a:srgbClr val="22C55E"/>
                  </a:solidFill>
                  <a:latin typeface="Aptos Narrow"/>
                </a:rPr>
                <a:pPr algn="ctr"/>
                <a:t> R$ 600,00 </a:t>
              </a:fld>
              <a:endParaRPr lang="pt-BR" sz="3600">
                <a:solidFill>
                  <a:srgbClr val="22C55E"/>
                </a:solidFill>
              </a:endParaRPr>
            </a:p>
          </xdr:txBody>
        </xdr:sp>
        <xdr:pic>
          <xdr:nvPicPr>
            <xdr:cNvPr id="9" name="Imagem 8">
              <a:extLst>
                <a:ext uri="{FF2B5EF4-FFF2-40B4-BE49-F238E27FC236}">
                  <a16:creationId xmlns:a16="http://schemas.microsoft.com/office/drawing/2014/main" id="{E3DB1CC2-FCFF-496E-8383-4AA3075B487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2707823" y="1516601"/>
              <a:ext cx="1371600" cy="966106"/>
            </a:xfrm>
            <a:prstGeom prst="rect">
              <a:avLst/>
            </a:prstGeom>
          </xdr:spPr>
        </xdr:pic>
        <xdr:sp macro="" textlink="">
          <xdr:nvSpPr>
            <xdr:cNvPr id="10" name="Retângulo: Cantos Superiores Arredondados 9">
              <a:extLst>
                <a:ext uri="{FF2B5EF4-FFF2-40B4-BE49-F238E27FC236}">
                  <a16:creationId xmlns:a16="http://schemas.microsoft.com/office/drawing/2014/main" id="{B1EAF77E-16DD-4B02-B3B7-F106ADB126DA}"/>
                </a:ext>
              </a:extLst>
            </xdr:cNvPr>
            <xdr:cNvSpPr/>
          </xdr:nvSpPr>
          <xdr:spPr>
            <a:xfrm>
              <a:off x="2462893" y="979715"/>
              <a:ext cx="4912179" cy="476250"/>
            </a:xfrm>
            <a:prstGeom prst="round2SameRect">
              <a:avLst>
                <a:gd name="adj1" fmla="val 20000"/>
                <a:gd name="adj2" fmla="val 0"/>
              </a:avLst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0"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100" b="0" baseline="0">
                  <a:latin typeface="Segoe UI" panose="020B0502040204020203" pitchFamily="34" charset="0"/>
                  <a:cs typeface="Segoe UI" panose="020B0502040204020203" pitchFamily="34" charset="0"/>
                </a:rPr>
                <a:t> SUBSCRIPTIONS EA PLAY SEASON PASS</a:t>
              </a:r>
              <a:endParaRPr lang="pt-BR" sz="1100" b="0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A68D34ED-3013-4B2F-A639-00C437422E05}"/>
              </a:ext>
            </a:extLst>
          </xdr:cNvPr>
          <xdr:cNvGrpSpPr/>
        </xdr:nvGrpSpPr>
        <xdr:grpSpPr>
          <a:xfrm>
            <a:off x="7717971" y="981075"/>
            <a:ext cx="4912179" cy="1639660"/>
            <a:chOff x="7717971" y="982436"/>
            <a:chExt cx="4912179" cy="1639660"/>
          </a:xfrm>
        </xdr:grpSpPr>
        <xdr:sp macro="" textlink="">
          <xdr:nvSpPr>
            <xdr:cNvPr id="13" name="Retângulo: Cantos Arredondados 12">
              <a:extLst>
                <a:ext uri="{FF2B5EF4-FFF2-40B4-BE49-F238E27FC236}">
                  <a16:creationId xmlns:a16="http://schemas.microsoft.com/office/drawing/2014/main" id="{0DB06093-4DD4-4DB4-B15A-1169EFE885EF}"/>
                </a:ext>
              </a:extLst>
            </xdr:cNvPr>
            <xdr:cNvSpPr/>
          </xdr:nvSpPr>
          <xdr:spPr>
            <a:xfrm>
              <a:off x="7721375" y="1001145"/>
              <a:ext cx="4893468" cy="1620951"/>
            </a:xfrm>
            <a:prstGeom prst="roundRect">
              <a:avLst>
                <a:gd name="adj" fmla="val 4902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34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00E75AB6-E272-4814-91B8-DED938CA0F6E}"/>
                </a:ext>
              </a:extLst>
            </xdr:cNvPr>
            <xdr:cNvSpPr/>
          </xdr:nvSpPr>
          <xdr:spPr>
            <a:xfrm>
              <a:off x="9460537" y="1517536"/>
              <a:ext cx="2558144" cy="886846"/>
            </a:xfrm>
            <a:prstGeom prst="roundRect">
              <a:avLst>
                <a:gd name="adj" fmla="val 4902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E5BA77B-EF53-4A7D-BAFF-B0B459E149D9}" type="TxLink">
                <a:rPr lang="en-US" sz="3600" b="0" i="0" u="none" strike="noStrike">
                  <a:solidFill>
                    <a:srgbClr val="22C55E"/>
                  </a:solidFill>
                  <a:latin typeface="Aptos Narrow"/>
                </a:rPr>
                <a:pPr algn="ctr"/>
                <a:t> R$ 940,00 </a:t>
              </a:fld>
              <a:endParaRPr lang="pt-BR" sz="36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16" name="Retângulo: Cantos Superiores Arredondados 15">
              <a:extLst>
                <a:ext uri="{FF2B5EF4-FFF2-40B4-BE49-F238E27FC236}">
                  <a16:creationId xmlns:a16="http://schemas.microsoft.com/office/drawing/2014/main" id="{45E75FEE-75B0-4A0B-B3C7-BC5323E89B1E}"/>
                </a:ext>
              </a:extLst>
            </xdr:cNvPr>
            <xdr:cNvSpPr/>
          </xdr:nvSpPr>
          <xdr:spPr>
            <a:xfrm>
              <a:off x="7717971" y="982436"/>
              <a:ext cx="4912179" cy="476250"/>
            </a:xfrm>
            <a:prstGeom prst="round2SameRect">
              <a:avLst>
                <a:gd name="adj1" fmla="val 20000"/>
                <a:gd name="adj2" fmla="val 0"/>
              </a:avLst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0"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100" b="0" baseline="0">
                  <a:latin typeface="Segoe UI" panose="020B0502040204020203" pitchFamily="34" charset="0"/>
                  <a:cs typeface="Segoe UI" panose="020B0502040204020203" pitchFamily="34" charset="0"/>
                </a:rPr>
                <a:t> SUBSCRIPTIONS MINECRAFT SEASON PASS</a:t>
              </a:r>
              <a:endParaRPr lang="pt-BR" sz="1100" b="0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grpSp>
          <xdr:nvGrpSpPr>
            <xdr:cNvPr id="17" name="Agrupar 16">
              <a:extLst>
                <a:ext uri="{FF2B5EF4-FFF2-40B4-BE49-F238E27FC236}">
                  <a16:creationId xmlns:a16="http://schemas.microsoft.com/office/drawing/2014/main" id="{1C45F7A9-8179-4B83-B43C-C6EAD56E47F3}"/>
                </a:ext>
              </a:extLst>
            </xdr:cNvPr>
            <xdr:cNvGrpSpPr/>
          </xdr:nvGrpSpPr>
          <xdr:grpSpPr>
            <a:xfrm>
              <a:off x="8027621" y="1608534"/>
              <a:ext cx="1235529" cy="704850"/>
              <a:chOff x="3495675" y="5400674"/>
              <a:chExt cx="1549476" cy="752476"/>
            </a:xfrm>
          </xdr:grpSpPr>
          <xdr:pic>
            <xdr:nvPicPr>
              <xdr:cNvPr id="18" name="Imagem 17">
                <a:extLst>
                  <a:ext uri="{FF2B5EF4-FFF2-40B4-BE49-F238E27FC236}">
                    <a16:creationId xmlns:a16="http://schemas.microsoft.com/office/drawing/2014/main" id="{3DA21337-E698-45C3-884A-8DC47FD4E307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3957167" y="5400674"/>
                <a:ext cx="545744" cy="609599"/>
              </a:xfrm>
              <a:prstGeom prst="rect">
                <a:avLst/>
              </a:prstGeom>
            </xdr:spPr>
          </xdr:pic>
          <xdr:pic>
            <xdr:nvPicPr>
              <xdr:cNvPr id="19" name="Gráfico 18">
                <a:extLst>
                  <a:ext uri="{FF2B5EF4-FFF2-40B4-BE49-F238E27FC236}">
                    <a16:creationId xmlns:a16="http://schemas.microsoft.com/office/drawing/2014/main" id="{B2D14961-CF1B-416B-A19F-0F713941771B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>
                <a:extLst>
                  <a:ext uri="{96DAC541-7B7A-43D3-8B79-37D633B846F1}">
                    <asvg:svgBlip xmlns:asvg="http://schemas.microsoft.com/office/drawing/2016/SVG/main" r:embed="rId5"/>
                  </a:ext>
                </a:extLst>
              </a:blip>
              <a:stretch>
                <a:fillRect/>
              </a:stretch>
            </xdr:blipFill>
            <xdr:spPr>
              <a:xfrm>
                <a:off x="3495675" y="5895937"/>
                <a:ext cx="1549476" cy="257213"/>
              </a:xfrm>
              <a:prstGeom prst="rect">
                <a:avLst/>
              </a:prstGeom>
            </xdr:spPr>
          </xdr:pic>
        </xdr:grpSp>
      </xdr:grpSp>
      <xdr:grpSp>
        <xdr:nvGrpSpPr>
          <xdr:cNvPr id="28" name="Agrupar 27">
            <a:extLst>
              <a:ext uri="{FF2B5EF4-FFF2-40B4-BE49-F238E27FC236}">
                <a16:creationId xmlns:a16="http://schemas.microsoft.com/office/drawing/2014/main" id="{CD7856C1-03EF-4AA5-B424-41F83B366883}"/>
              </a:ext>
            </a:extLst>
          </xdr:cNvPr>
          <xdr:cNvGrpSpPr/>
        </xdr:nvGrpSpPr>
        <xdr:grpSpPr>
          <a:xfrm>
            <a:off x="2416015" y="2993572"/>
            <a:ext cx="10334780" cy="3252107"/>
            <a:chOff x="2402407" y="2993572"/>
            <a:chExt cx="10334780" cy="3252107"/>
          </a:xfrm>
        </xdr:grpSpPr>
        <xdr:grpSp>
          <xdr:nvGrpSpPr>
            <xdr:cNvPr id="6" name="Agrupar 5">
              <a:extLst>
                <a:ext uri="{FF2B5EF4-FFF2-40B4-BE49-F238E27FC236}">
                  <a16:creationId xmlns:a16="http://schemas.microsoft.com/office/drawing/2014/main" id="{A175E74B-9F54-49AA-B4F7-43AE0DF6F0EA}"/>
                </a:ext>
              </a:extLst>
            </xdr:cNvPr>
            <xdr:cNvGrpSpPr/>
          </xdr:nvGrpSpPr>
          <xdr:grpSpPr>
            <a:xfrm>
              <a:off x="2408465" y="3024188"/>
              <a:ext cx="10300606" cy="3221491"/>
              <a:chOff x="2607468" y="1071563"/>
              <a:chExt cx="4857751" cy="2988468"/>
            </a:xfrm>
          </xdr:grpSpPr>
          <xdr:sp macro="" textlink="">
            <xdr:nvSpPr>
              <xdr:cNvPr id="5" name="Retângulo: Cantos Arredondados 4">
                <a:extLst>
                  <a:ext uri="{FF2B5EF4-FFF2-40B4-BE49-F238E27FC236}">
                    <a16:creationId xmlns:a16="http://schemas.microsoft.com/office/drawing/2014/main" id="{687D7C51-866C-48AD-89BF-B051ECF2AA79}"/>
                  </a:ext>
                </a:extLst>
              </xdr:cNvPr>
              <xdr:cNvSpPr/>
            </xdr:nvSpPr>
            <xdr:spPr>
              <a:xfrm>
                <a:off x="2607468" y="1071563"/>
                <a:ext cx="4857751" cy="2988468"/>
              </a:xfrm>
              <a:prstGeom prst="roundRect">
                <a:avLst>
                  <a:gd name="adj" fmla="val 3918"/>
                </a:avLst>
              </a:prstGeom>
              <a:solidFill>
                <a:schemeClr val="bg1"/>
              </a:solidFill>
              <a:ln>
                <a:solidFill>
                  <a:schemeClr val="bg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graphicFrame macro="">
            <xdr:nvGraphicFramePr>
              <xdr:cNvPr id="3" name="Gráfico 2">
                <a:extLst>
                  <a:ext uri="{FF2B5EF4-FFF2-40B4-BE49-F238E27FC236}">
                    <a16:creationId xmlns:a16="http://schemas.microsoft.com/office/drawing/2014/main" id="{ED1EBCF0-7B32-47DD-8512-114DBA13C4CD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2843213" y="1250156"/>
              <a:ext cx="4571999" cy="274320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6"/>
              </a:graphicData>
            </a:graphic>
          </xdr:graphicFrame>
        </xdr:grpSp>
        <xdr:sp macro="" textlink="">
          <xdr:nvSpPr>
            <xdr:cNvPr id="26" name="Retângulo: Cantos Superiores Arredondados 25">
              <a:extLst>
                <a:ext uri="{FF2B5EF4-FFF2-40B4-BE49-F238E27FC236}">
                  <a16:creationId xmlns:a16="http://schemas.microsoft.com/office/drawing/2014/main" id="{C069E0AD-3704-4390-93F9-C81BEE22805E}"/>
                </a:ext>
              </a:extLst>
            </xdr:cNvPr>
            <xdr:cNvSpPr/>
          </xdr:nvSpPr>
          <xdr:spPr>
            <a:xfrm>
              <a:off x="2402407" y="2993572"/>
              <a:ext cx="10334780" cy="518401"/>
            </a:xfrm>
            <a:prstGeom prst="round2SameRect">
              <a:avLst>
                <a:gd name="adj1" fmla="val 20000"/>
                <a:gd name="adj2" fmla="val 0"/>
              </a:avLst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0"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100" b="0" baseline="0">
                  <a:latin typeface="Segoe UI" panose="020B0502040204020203" pitchFamily="34" charset="0"/>
                  <a:cs typeface="Segoe UI" panose="020B0502040204020203" pitchFamily="34" charset="0"/>
                </a:rPr>
                <a:t> SUBSCRIPTIONS EA PLAY SEASON PASS</a:t>
              </a:r>
              <a:endParaRPr lang="pt-BR" sz="1100" b="0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</xdr:grpSp>
    <xdr:clientData/>
  </xdr:twoCellAnchor>
  <xdr:twoCellAnchor>
    <xdr:from>
      <xdr:col>0</xdr:col>
      <xdr:colOff>349704</xdr:colOff>
      <xdr:row>0</xdr:row>
      <xdr:rowOff>176893</xdr:rowOff>
    </xdr:from>
    <xdr:to>
      <xdr:col>0</xdr:col>
      <xdr:colOff>1121229</xdr:colOff>
      <xdr:row>2</xdr:row>
      <xdr:rowOff>249011</xdr:rowOff>
    </xdr:to>
    <xdr:sp macro="" textlink="">
      <xdr:nvSpPr>
        <xdr:cNvPr id="29" name="Elipse 28">
          <a:extLst>
            <a:ext uri="{FF2B5EF4-FFF2-40B4-BE49-F238E27FC236}">
              <a16:creationId xmlns:a16="http://schemas.microsoft.com/office/drawing/2014/main" id="{473643AF-7F31-4A80-BA30-EEA380AA6885}"/>
            </a:ext>
          </a:extLst>
        </xdr:cNvPr>
        <xdr:cNvSpPr/>
      </xdr:nvSpPr>
      <xdr:spPr>
        <a:xfrm>
          <a:off x="349704" y="176893"/>
          <a:ext cx="771525" cy="6572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158182</xdr:colOff>
      <xdr:row>3</xdr:row>
      <xdr:rowOff>40821</xdr:rowOff>
    </xdr:from>
    <xdr:to>
      <xdr:col>0</xdr:col>
      <xdr:colOff>2035968</xdr:colOff>
      <xdr:row>4</xdr:row>
      <xdr:rowOff>54428</xdr:rowOff>
    </xdr:to>
    <xdr:sp macro="" textlink="">
      <xdr:nvSpPr>
        <xdr:cNvPr id="30" name="Retângulo 29">
          <a:extLst>
            <a:ext uri="{FF2B5EF4-FFF2-40B4-BE49-F238E27FC236}">
              <a16:creationId xmlns:a16="http://schemas.microsoft.com/office/drawing/2014/main" id="{CE5E2F93-9E9F-42CD-AE00-CD832CD1AC99}"/>
            </a:ext>
          </a:extLst>
        </xdr:cNvPr>
        <xdr:cNvSpPr/>
      </xdr:nvSpPr>
      <xdr:spPr>
        <a:xfrm>
          <a:off x="158182" y="898071"/>
          <a:ext cx="1877786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100" b="1"/>
            <a:t>&gt; Bem</a:t>
          </a:r>
          <a:r>
            <a:rPr lang="pt-BR" sz="1100" b="1" baseline="0"/>
            <a:t> vinda, Liana!</a:t>
          </a:r>
          <a:endParaRPr lang="pt-BR" sz="11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rge batista" refreshedDate="46125.885653703706" createdVersion="7" refreshedVersion="7" minRefreshableVersion="3" recordCount="295" xr:uid="{E3F7C496-7F9D-4AB0-A59E-AEE6B4C69DEE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52434175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6ECA28-6729-4BCE-83B5-8904B3516C91}" name="tbl_easeasonpass_total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B20:C2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F689E9-2922-4749-84CA-D3540B279A0B}" name="tbl_annual_total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/>
  </dataFields>
  <chartFormats count="3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6A2BC9-578D-4CEE-B4F5-56D85740FADE}" name="Tabela dinâmica7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B31:C3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EA9BDC87-47FA-4995-AF27-EF90139D4F3D}" sourceName="Subscription Type">
  <pivotTables>
    <pivotTable tabId="3" name="tbl_annual_total"/>
    <pivotTable tabId="3" name="tbl_easeasonpass_total"/>
    <pivotTable tabId="3" name="Tabela dinâmica7"/>
  </pivotTables>
  <data>
    <tabular pivotCacheId="524341753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180DCA26-7C6D-4DAB-8B8A-C782EB1F1C2E}" cache="SegmentaçãodeDados_Subscription_Type" caption="Subscription Type" style="SlicerStyleLight3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4">
      <filters>
        <filter val="Yes"/>
      </filters>
    </filterColumn>
    <filterColumn colId="6">
      <filters>
        <filter val="Annual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A4" sqref="A4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D1" zoomScale="85" zoomScaleNormal="85" workbookViewId="0">
      <selection activeCell="A4" sqref="A4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hidden="1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hidden="1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hidden="1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hidden="1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hidden="1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hidden="1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hidden="1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hidden="1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hidden="1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hidden="1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hidden="1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hidden="1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hidden="1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hidden="1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hidden="1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hidden="1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hidden="1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hidden="1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hidden="1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idden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idden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idden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idden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idden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idden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hidden="1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hidden="1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hidden="1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hidden="1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hidden="1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hidden="1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hidden="1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hidden="1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hidden="1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hidden="1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hidden="1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hidden="1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hidden="1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hidden="1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hidden="1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hidden="1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hidden="1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hidden="1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hidden="1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hidden="1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hidden="1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hidden="1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hidden="1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hidden="1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hidden="1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hidden="1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hidden="1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hidden="1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hidden="1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hidden="1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hidden="1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hidden="1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hidden="1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hidden="1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hidden="1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hidden="1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hidden="1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hidden="1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hidden="1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hidden="1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hidden="1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hidden="1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hidden="1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hidden="1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hidden="1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hidden="1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hidden="1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hidden="1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hidden="1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hidden="1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hidden="1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hidden="1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hidden="1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hidden="1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hidden="1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hidden="1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hidden="1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hidden="1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hidden="1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4:F35"/>
  <sheetViews>
    <sheetView showGridLines="0" topLeftCell="A16" workbookViewId="0">
      <selection activeCell="A4" sqref="A4"/>
    </sheetView>
  </sheetViews>
  <sheetFormatPr defaultRowHeight="14.25"/>
  <cols>
    <col min="2" max="2" width="18" bestFit="1" customWidth="1"/>
    <col min="3" max="4" width="35.125" bestFit="1" customWidth="1"/>
    <col min="5" max="5" width="15.125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4" spans="2:6" ht="18">
      <c r="B4" s="15" t="s">
        <v>313</v>
      </c>
      <c r="C4" s="16"/>
      <c r="D4" s="16"/>
      <c r="E4" s="16"/>
      <c r="F4" s="16"/>
    </row>
    <row r="6" spans="2:6" ht="15">
      <c r="B6" t="s">
        <v>318</v>
      </c>
    </row>
    <row r="7" spans="2:6" ht="15">
      <c r="B7" t="s">
        <v>317</v>
      </c>
    </row>
    <row r="9" spans="2:6">
      <c r="B9" s="12" t="s">
        <v>16</v>
      </c>
      <c r="C9" t="s">
        <v>24</v>
      </c>
    </row>
    <row r="11" spans="2:6">
      <c r="B11" s="12" t="s">
        <v>314</v>
      </c>
      <c r="C11" t="s">
        <v>316</v>
      </c>
    </row>
    <row r="12" spans="2:6">
      <c r="B12" s="13" t="s">
        <v>23</v>
      </c>
      <c r="C12" s="14">
        <v>217</v>
      </c>
    </row>
    <row r="13" spans="2:6">
      <c r="B13" s="13" t="s">
        <v>19</v>
      </c>
      <c r="C13" s="14">
        <v>1537</v>
      </c>
    </row>
    <row r="14" spans="2:6">
      <c r="B14" s="13" t="s">
        <v>315</v>
      </c>
      <c r="C14" s="14">
        <v>1754</v>
      </c>
    </row>
    <row r="16" spans="2:6">
      <c r="B16" s="13" t="s">
        <v>320</v>
      </c>
    </row>
    <row r="18" spans="2:5">
      <c r="B18" s="12" t="s">
        <v>16</v>
      </c>
      <c r="C18" t="s">
        <v>24</v>
      </c>
    </row>
    <row r="20" spans="2:5">
      <c r="B20" s="12" t="s">
        <v>314</v>
      </c>
      <c r="C20" t="s">
        <v>321</v>
      </c>
    </row>
    <row r="21" spans="2:5">
      <c r="B21" s="13" t="s">
        <v>22</v>
      </c>
      <c r="C21" s="14">
        <v>0</v>
      </c>
      <c r="E21" s="20">
        <f>GETPIVOTDATA("EA Play Season Pass
Price",$B$20)</f>
        <v>600</v>
      </c>
    </row>
    <row r="22" spans="2:5">
      <c r="B22" s="13" t="s">
        <v>26</v>
      </c>
      <c r="C22" s="14">
        <v>0</v>
      </c>
    </row>
    <row r="23" spans="2:5">
      <c r="B23" s="13" t="s">
        <v>18</v>
      </c>
      <c r="C23" s="14">
        <v>600</v>
      </c>
    </row>
    <row r="24" spans="2:5">
      <c r="B24" s="13" t="s">
        <v>315</v>
      </c>
      <c r="C24" s="14">
        <v>600</v>
      </c>
    </row>
    <row r="27" spans="2:5">
      <c r="B27" s="13" t="s">
        <v>322</v>
      </c>
    </row>
    <row r="29" spans="2:5">
      <c r="B29" s="12" t="s">
        <v>16</v>
      </c>
      <c r="C29" t="s">
        <v>24</v>
      </c>
    </row>
    <row r="31" spans="2:5">
      <c r="B31" s="12" t="s">
        <v>314</v>
      </c>
      <c r="C31" t="s">
        <v>323</v>
      </c>
    </row>
    <row r="32" spans="2:5">
      <c r="B32" s="13" t="s">
        <v>22</v>
      </c>
      <c r="C32" s="14">
        <v>0</v>
      </c>
    </row>
    <row r="33" spans="2:5">
      <c r="B33" s="13" t="s">
        <v>26</v>
      </c>
      <c r="C33" s="14">
        <v>540</v>
      </c>
    </row>
    <row r="34" spans="2:5">
      <c r="B34" s="13" t="s">
        <v>18</v>
      </c>
      <c r="C34" s="14">
        <v>400</v>
      </c>
      <c r="E34" s="19">
        <f>GETPIVOTDATA("Minecraft Season Pass Price",$B$31)</f>
        <v>940</v>
      </c>
    </row>
    <row r="35" spans="2:5">
      <c r="B35" s="13" t="s">
        <v>315</v>
      </c>
      <c r="C35" s="14">
        <v>940</v>
      </c>
    </row>
  </sheetData>
  <pageMargins left="0.511811024" right="0.511811024" top="0.78740157499999996" bottom="0.78740157499999996" header="0.31496062000000002" footer="0.31496062000000002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T129"/>
  <sheetViews>
    <sheetView showGridLines="0" tabSelected="1" zoomScale="80" zoomScaleNormal="80" zoomScalePageLayoutView="30" workbookViewId="0">
      <selection activeCell="C2" sqref="C2"/>
    </sheetView>
  </sheetViews>
  <sheetFormatPr defaultRowHeight="14.25"/>
  <cols>
    <col min="1" max="1" width="26.875" style="4" customWidth="1"/>
    <col min="2" max="2" width="3" customWidth="1"/>
    <col min="3" max="3" width="9.5" customWidth="1"/>
    <col min="7" max="8" width="9" customWidth="1"/>
    <col min="12" max="12" width="6.625" customWidth="1"/>
  </cols>
  <sheetData>
    <row r="1" spans="1:20" ht="15.75" customHeight="1"/>
    <row r="2" spans="1:20" ht="30" customHeight="1" thickBot="1">
      <c r="C2" s="21" t="s">
        <v>319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20" ht="21" customHeight="1" thickTop="1"/>
    <row r="4" spans="1:20" s="7" customFormat="1" ht="21.75" customHeight="1">
      <c r="A4" s="4"/>
      <c r="C4" s="22" t="s">
        <v>324</v>
      </c>
    </row>
    <row r="5" spans="1:20" s="7" customFormat="1" ht="8.25" customHeight="1">
      <c r="A5" s="4"/>
    </row>
    <row r="6" spans="1:20" s="7" customFormat="1" ht="14.25" customHeight="1">
      <c r="A6" s="4"/>
    </row>
    <row r="7" spans="1:20" s="7" customFormat="1" ht="15" customHeight="1">
      <c r="A7" s="4"/>
      <c r="K7" s="18"/>
    </row>
    <row r="8" spans="1:20" s="7" customFormat="1" ht="15.75" customHeight="1">
      <c r="A8" s="4"/>
    </row>
    <row r="9" spans="1:20" s="7" customFormat="1" ht="33" customHeight="1">
      <c r="A9" s="4"/>
      <c r="T9" s="18"/>
    </row>
    <row r="10" spans="1:20" s="7" customFormat="1">
      <c r="A10" s="4"/>
    </row>
    <row r="11" spans="1:20" s="7" customFormat="1">
      <c r="A11" s="4"/>
    </row>
    <row r="12" spans="1:20" s="7" customFormat="1">
      <c r="A12" s="4"/>
    </row>
    <row r="13" spans="1:20" s="7" customFormat="1">
      <c r="A13" s="4"/>
    </row>
    <row r="14" spans="1:20" s="7" customFormat="1">
      <c r="A14" s="4"/>
    </row>
    <row r="15" spans="1:20" s="7" customFormat="1">
      <c r="A15" s="4"/>
    </row>
    <row r="16" spans="1:20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</sheetData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Jorge Neto</cp:lastModifiedBy>
  <dcterms:created xsi:type="dcterms:W3CDTF">2024-12-19T13:13:10Z</dcterms:created>
  <dcterms:modified xsi:type="dcterms:W3CDTF">2026-04-15T23:57:41Z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